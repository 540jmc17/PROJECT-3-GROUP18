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ile_Reference_Stories" sheetId="1" r:id="rId5"/>
    <sheet state="visible" name="Initial_Requirements_Stack" sheetId="2" r:id="rId6"/>
  </sheets>
  <definedNames/>
  <calcPr/>
</workbook>
</file>

<file path=xl/sharedStrings.xml><?xml version="1.0" encoding="utf-8"?>
<sst xmlns="http://schemas.openxmlformats.org/spreadsheetml/2006/main" count="99" uniqueCount="96">
  <si>
    <t>Reference Story No.</t>
  </si>
  <si>
    <t>Pool</t>
  </si>
  <si>
    <t>Story Source</t>
  </si>
  <si>
    <t>Story Summary</t>
  </si>
  <si>
    <t>EECS 330 SP24 Lab 2</t>
  </si>
  <si>
    <t>Implemented basic utility functions for a custom vector class in C++. Developed methods to return the number of stored elements, check the allocated capacity, and determine whether the vector is empty.</t>
  </si>
  <si>
    <t>EECS 330 SP26</t>
  </si>
  <si>
    <t>Implemented a recursive binary search function in Python to locate target value in a sorted array. Used base cases and comparisons to narrow the search range, returning the target's index when found. Tested the created function with sample arrays.</t>
  </si>
  <si>
    <t>EECS 468 FA25</t>
  </si>
  <si>
    <t>Created an HTML webpage using JavaScript with two clickable buttons demonstrating different ways to display “Hello World!” through browser alerts and dynamically update webpage content.</t>
  </si>
  <si>
    <t>EECS 330 FA25</t>
  </si>
  <si>
    <t>Implemented Kruskal’s and Prim’s algorithms in Python to find the minimum spanning tree of a weighted undirected graph. Used union find to avoid cycles in Kruskal’s and a heap based priority queue in Prim’s, then tested both on the same seven node graph.</t>
  </si>
  <si>
    <t>EECS 465 Lab 3 SP26</t>
  </si>
  <si>
    <t>Simulated a noisy binary channel using NumPY. Sent 500 bit packets with different flip bit probabilties and then counted the decoded packets but only if they had less than 5 errros. Then counted how many were correctly decoded and represented it as a fraction of total packets.</t>
  </si>
  <si>
    <t>Internship 2026</t>
  </si>
  <si>
    <t>Added an email receipt option to a retail point-of-sale checkout system, letting customers choose a printed receipt, an emailed receipt, or both. Tested the change in a staging environment before releasing it to the store.</t>
  </si>
  <si>
    <t>EECS 330 FA24</t>
  </si>
  <si>
    <t>Implemented heapsort in Python using provided pseudocode. Built a max heap from an input list, maintained the heap property during element removal, and repeatedly extracted the largest element to produce a sorted list of values.</t>
  </si>
  <si>
    <t>EECS 330 FA25 Lab 3</t>
  </si>
  <si>
    <t>Implemented randomized selection in Python to find the kth smallest array element using temporary-array and in-place partitioning methods. Displayed pivot and subarray information, tested empty and repeated-value inputs, and measured execution times alongside NumPy sorting on a larger random array.</t>
  </si>
  <si>
    <t>EECS 388 FA25 Lab 1</t>
  </si>
  <si>
    <t>Developed a C program that accepts an array of integers from the user and determines how many distinct values appear more than once. Implemented logic to identify duplicate values without counting the same repeated number multiple times, then displayed the total number of duplicates.</t>
  </si>
  <si>
    <t>EECS 268 FA25</t>
  </si>
  <si>
    <t xml:space="preserve">Implemented a Python solution to the N-Queens problem using backtracking given the pseudocode. Placed queens on a chessboard while checking that no two queens shared the same row, column, or diagonal. </t>
  </si>
  <si>
    <t>EECS 388 SP26</t>
  </si>
  <si>
    <t>Implemented PWM-based servo motor control on an Arduino Uno in C, manually generating GPIO signals to rotate an SG90 servo in 30-degree increments from 0° to 180° and back.</t>
  </si>
  <si>
    <t>Dasc 599 FA26</t>
  </si>
  <si>
    <t>Completed a Jupyter notebook assignment in Python using pandas to load a dataset, clean missing values, calculate summary statistics, and build charts to answer questions about the data, then exported the finished notebook as a PDF for submission.</t>
  </si>
  <si>
    <t xml:space="preserve">EECS 348 FA25 Lab 7 </t>
  </si>
  <si>
    <t>Built a C++ program that connects to KU’s MySQL server, creates 5 tables (students, faculty, courses, offerings, enrollment), loads them from SQL files, and runs 12 required queries, printing the results. Also wrote a use case and design artifacts before coding.</t>
  </si>
  <si>
    <t>Internship 2024</t>
  </si>
  <si>
    <t>Analyzed door-to-door sales data in R using dplyr and ggplot2. Cleaned visit records, calculated conversion rates by time of day, and visualized the results to identify peak hours, which were used to reschedule canvassing sh</t>
  </si>
  <si>
    <t>EECS 468 SP25</t>
  </si>
  <si>
    <t>Developed a JavaScript HTTP server that handled GET, PUT, and DELETE requests. Implemented functionality to retrieve files, write file contents, delete resources, and create directories, allowing users to manage server files through HTTP requests sent from the terminal.</t>
  </si>
  <si>
    <t>EECS 565 FA26</t>
  </si>
  <si>
    <t>Developed a Python program to decrypt Vigenere ciphertext using a supplied key length and first-word length. Tried candidate keys, checked the resulting first word against a dictionary, and reported matching plaintext to help identify the original message.</t>
  </si>
  <si>
    <t>EECS 678 SP26 Lab 10</t>
  </si>
  <si>
    <t>Implemented a deadlock detection mechanism in C for the Dining Philosophers problem using the Linux /proc filesystem. Read individual thread statistics to monitor CPU usage, compared user and system execution times to identify potential deadlocks, and integrated the detection logic into an existing multithreaded program.</t>
  </si>
  <si>
    <t>EECS 649 FA26</t>
  </si>
  <si>
    <t>Implemented a Python AI solver for a 3x3 image-matching puzzle. Developed legal piece placement generation, depth-first search, and greedy best-first search using a custom heuristic. Compared both search methods by measuring runtime and memory usage.</t>
  </si>
  <si>
    <t>Analyzed face recognition performance by implementing circular normalized cross-correlation using naive, schoolbook, and Karatsuba multiplication. Compared computational costs, runtimes, and genuine versus impostor matching accuracy.</t>
  </si>
  <si>
    <t>Used a vision language model to read mechanical engineering drawings, extracting part dimensions, tolerances, and notes into structured data. Tested prompts on sample drawings, checked outputs against the originals for accuracy, and reported where the model struggled with dense or cluttered sheets.</t>
  </si>
  <si>
    <t>Byteshield (Personal Project)</t>
  </si>
  <si>
    <t>Built two Python security tools: LogSentinel Pro analyzes authentication and web server logs to detect suspicious login activity, while NetMap Pro scans TCP ports, identifies services, and flags potential risks. Both generate automated summary reports.</t>
  </si>
  <si>
    <t>Karim Lakhani (Personal Project)</t>
  </si>
  <si>
    <t>Built a proof-of-concept AI chatbot on Amazon Bedrock and Amazon Q that used past ServiceNow support tickets and company documentation to answer client questions and suggest resolutions to common issues. Indexed the ticket data, tested responses for accuracy, and demoed the tool to leadership.</t>
  </si>
  <si>
    <t>EECS 447 SP25</t>
  </si>
  <si>
    <t>Developed a Python interface for a PostgreSQL library database with separate User, Staff, and Admin modes. Supported catalog searches, borrowing and returning items, creating records, and updating stored information, with available operations determined by the selected access mode.</t>
  </si>
  <si>
    <t>Designing and building an AI evaluation harness in Rust with product-specific adapters and a reusable evaluation core. The task includes staged execution, modular grading, failure-case testing, evidence-integrity checks, and comparisons between compatible evaluation runs.</t>
  </si>
  <si>
    <t>Requirement ID</t>
  </si>
  <si>
    <t>Description</t>
  </si>
  <si>
    <t>Story Points</t>
  </si>
  <si>
    <t>Priority</t>
  </si>
  <si>
    <t>Sprint No.</t>
  </si>
  <si>
    <t>Store equipment, user, reservation, and loan records in a database.</t>
  </si>
  <si>
    <t>Staff registration for new equipment by entering name, category, description, and unique asset ID.</t>
  </si>
  <si>
    <t>Display an equipment catalog showing available equipment.</t>
  </si>
  <si>
    <t>Display a navigation menu that allows users to access main sections of the website.</t>
  </si>
  <si>
    <t>Allow students and staff to securely log in and log out using their accounts.</t>
  </si>
  <si>
    <t>Protect students' private information by restricting access to unauthorized users.</t>
  </si>
  <si>
    <t xml:space="preserve">Display different website features depending on the user's role. Students should see borrowing and reservation options, while staff should see equipment management options. </t>
  </si>
  <si>
    <t>Allow students to select valid start and end dates when reserving equipment.</t>
  </si>
  <si>
    <t>Prevent students from reserving equipment that is already reserved or checked out.</t>
  </si>
  <si>
    <t xml:space="preserve">Allow students to view only their own equipment reservations while allowing staff to view and manage reservations belonging to all students. </t>
  </si>
  <si>
    <t>Allow staff to check out equipment associated with an existing student reservation. The system verifies the reservation, records the checkout, and updates the reservation status from "Reserved" to "Checked Out".</t>
  </si>
  <si>
    <t>Allow staff to check out available equipment directly to students without requiring a previous reservation. The system records the student, equipment, checkout date, and expected return date.</t>
  </si>
  <si>
    <t>Record returned equipment, update the loan status to returned, and make the equipment available for future reservations if its in a usable condition.</t>
  </si>
  <si>
    <t>Prevent simultaneous double bookings.</t>
  </si>
  <si>
    <t>Allow students to cancel equipment reservations before the equipment is checked out.</t>
  </si>
  <si>
    <t>Display equipment due dates for each piece of equipment checked out by a student.</t>
  </si>
  <si>
    <t>Allow staff to mark equipment as unavailable while it is being repaired.</t>
  </si>
  <si>
    <t>Block reservations during repairs or maintenance.</t>
  </si>
  <si>
    <t xml:space="preserve">Display option for staff to create and manage repair tickets. </t>
  </si>
  <si>
    <t>Staff can edit existing equipment information, including its name, category, description, and condition. Changes must be saved and reflected on the website.</t>
  </si>
  <si>
    <t>Allow users to search for equipment by name and filter the catalog by equipment category or current availability.</t>
  </si>
  <si>
    <t>Report damaged equipment for students and allow staff to view and manage damage reports.</t>
  </si>
  <si>
    <t>Notify staff for all overdue equipment and notify students when their borrowed equipment is overdue.</t>
  </si>
  <si>
    <t>Display equipment dashboard totals for equipment items, available items, reserved items, checked-out items, and overdue loans.</t>
  </si>
  <si>
    <t>Display reservation confirmation messages for students when they create or cancel a reservation.</t>
  </si>
  <si>
    <t>Students can view their own equipment borrowing history, including previously borrowed items, checkout dates, and recorded return dates.</t>
  </si>
  <si>
    <t>Display each equipment item's details and history.</t>
  </si>
  <si>
    <t>Allow staff to extend the return date of equipment currently checked out if the extension does not conflict with another student's reservation.</t>
  </si>
  <si>
    <t>Display an on-screen confirmation after staff successfully record an equipment return, including the returned item's name and return date.</t>
  </si>
  <si>
    <t>Display reminders within the website for equipment approaching its expected return date or equipment that is already overdue.</t>
  </si>
  <si>
    <t>Display equipment reservation statistics, including the number of reservations created during a selected month.</t>
  </si>
  <si>
    <t>Allow staff to search and filter maintenance tickets by equipment item and repair status to locate specific maintenance records.</t>
  </si>
  <si>
    <t>Allow staff to view an equipment item's maintenance history, including previous repair descriptions, statuses, and completion dates.</t>
  </si>
  <si>
    <t>Staff can select a specific month on the dashboard and update the displayed equipment usage and reservation statistics for that month.</t>
  </si>
  <si>
    <t>Students can open a help page explaining how reservations work, how long they can borrow equipment, and what to do if something gets damaged.</t>
  </si>
  <si>
    <t>Allow students to join a waiting list for equipment that is currently unavailable. The system must save the student's waitlist entry and associate it with the selected equipment.</t>
  </si>
  <si>
    <t>Display an in-app notification to students on an equipment waitlist when the equipment they are waiting for becomes available.</t>
  </si>
  <si>
    <t>Students can submit questions about equipment reservations and procedures to the staff.</t>
  </si>
  <si>
    <t>Staff can view student questions and respond.</t>
  </si>
  <si>
    <t>Notify students and staff when there is a response or a question.</t>
  </si>
  <si>
    <t>TOTAL STORY POINTS</t>
  </si>
  <si>
    <t xml:space="preserve">DESCRIPTION:         
CampusGear is a website that allows KU students to browse, reserve, and borrow university equipment such as lab gear, laptops, cameras, calculators, microphones, and other school-related items. Students can view available equipment, select reservation dates, and track their current reservations, borrowing history, and return deadlines. The system prevents students from reserving equipment that is already booked or unavailable due to maintenance. Staff members can add and update equipment information, check equipment in and out, manage reservations, and record damaged equipment or maintenance requests. Equipment will be marked as available, reserved, checked out, or under maintenance depending on its current status. The website will also provide a dashboard displaying equipment availability, overdue returns, and usage statistics. The goal is to create an organized and convenient system that makes borrowing and managing university equipment easier for both students and staff.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</si>
</sst>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000000"/>
      <name val="&quot;Aptos Narrow&quot;"/>
    </font>
    <font>
      <b/>
      <sz val="11.0"/>
      <color rgb="FF000000"/>
      <name val="Calibri"/>
    </font>
    <font>
      <sz val="11.0"/>
      <color rgb="FF000000"/>
      <name val="Calibri"/>
    </font>
  </fonts>
  <fills count="2">
    <fill>
      <patternFill patternType="none"/>
    </fill>
    <fill>
      <patternFill patternType="lightGray"/>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505050"/>
      </left>
      <right style="thin">
        <color rgb="FF505050"/>
      </right>
      <top style="thin">
        <color rgb="FF505050"/>
      </top>
      <bottom style="thin">
        <color rgb="FF505050"/>
      </bottom>
    </border>
    <border>
      <left style="thin">
        <color rgb="FF505050"/>
      </left>
      <right style="thin">
        <color rgb="FF505050"/>
      </right>
      <top style="thin">
        <color rgb="FF505050"/>
      </top>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readingOrder="0" vertical="bottom"/>
    </xf>
    <xf borderId="1" fillId="0" fontId="2" numFmtId="0" xfId="0" applyAlignment="1" applyBorder="1" applyFont="1">
      <alignment readingOrder="0" vertical="bottom"/>
    </xf>
    <xf borderId="1" fillId="0" fontId="3" numFmtId="0" xfId="0" applyAlignment="1" applyBorder="1" applyFont="1">
      <alignment horizontal="right" readingOrder="0" vertical="bottom"/>
    </xf>
    <xf borderId="1" fillId="0" fontId="3" numFmtId="0" xfId="0" applyAlignment="1" applyBorder="1" applyFont="1">
      <alignment readingOrder="0" vertical="bottom"/>
    </xf>
    <xf borderId="1" fillId="0" fontId="3"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2" fillId="0" fontId="3" numFmtId="0" xfId="0" applyAlignment="1" applyBorder="1" applyFont="1">
      <alignment readingOrder="0" shrinkToFit="0" vertical="bottom" wrapText="0"/>
    </xf>
    <xf borderId="1" fillId="0" fontId="2"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3" fillId="0" fontId="3" numFmtId="0" xfId="0" applyAlignment="1" applyBorder="1" applyFont="1">
      <alignment horizontal="right" readingOrder="0" shrinkToFit="0" vertical="bottom" wrapText="0"/>
    </xf>
    <xf borderId="3" fillId="0" fontId="3" numFmtId="0" xfId="0" applyAlignment="1" applyBorder="1" applyFont="1">
      <alignment readingOrder="0" shrinkToFit="0" vertical="bottom" wrapText="0"/>
    </xf>
    <xf borderId="4" fillId="0" fontId="3" numFmtId="0" xfId="0" applyAlignment="1" applyBorder="1" applyFont="1">
      <alignment horizontal="right" readingOrder="0" shrinkToFit="0" vertical="bottom" wrapText="0"/>
    </xf>
    <xf borderId="4" fillId="0" fontId="3" numFmtId="0" xfId="0" applyAlignment="1" applyBorder="1" applyFont="1">
      <alignment readingOrder="0" shrinkToFit="0" vertical="bottom" wrapText="0"/>
    </xf>
    <xf borderId="5" fillId="0" fontId="3" numFmtId="0" xfId="0" applyAlignment="1" applyBorder="1" applyFont="1">
      <alignment horizontal="right" readingOrder="0" shrinkToFit="0" vertical="bottom" wrapText="0"/>
    </xf>
    <xf borderId="5" fillId="0" fontId="3" numFmtId="0" xfId="0" applyAlignment="1" applyBorder="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88"/>
    <col customWidth="1" min="3" max="3" width="42.0"/>
    <col customWidth="1" min="4" max="4" width="243.63"/>
  </cols>
  <sheetData>
    <row r="1">
      <c r="A1" s="1" t="s">
        <v>0</v>
      </c>
      <c r="B1" s="2" t="s">
        <v>1</v>
      </c>
      <c r="C1" s="2" t="s">
        <v>2</v>
      </c>
      <c r="D1" s="2" t="s">
        <v>3</v>
      </c>
    </row>
    <row r="2">
      <c r="A2" s="3">
        <v>1.0</v>
      </c>
      <c r="B2" s="3">
        <v>1.0</v>
      </c>
      <c r="C2" s="4" t="s">
        <v>4</v>
      </c>
      <c r="D2" s="5" t="s">
        <v>5</v>
      </c>
    </row>
    <row r="3">
      <c r="A3" s="3">
        <v>2.0</v>
      </c>
      <c r="B3" s="3">
        <v>1.0</v>
      </c>
      <c r="C3" s="4" t="s">
        <v>6</v>
      </c>
      <c r="D3" s="6" t="s">
        <v>7</v>
      </c>
    </row>
    <row r="4">
      <c r="A4" s="3">
        <v>3.0</v>
      </c>
      <c r="B4" s="3">
        <v>1.0</v>
      </c>
      <c r="C4" s="4" t="s">
        <v>8</v>
      </c>
      <c r="D4" s="4" t="s">
        <v>9</v>
      </c>
    </row>
    <row r="5">
      <c r="A5" s="3">
        <v>4.0</v>
      </c>
      <c r="B5" s="3">
        <v>1.0</v>
      </c>
      <c r="C5" s="7" t="s">
        <v>10</v>
      </c>
      <c r="D5" s="6" t="s">
        <v>11</v>
      </c>
    </row>
    <row r="6">
      <c r="A6" s="3">
        <v>5.0</v>
      </c>
      <c r="B6" s="3">
        <v>2.0</v>
      </c>
      <c r="C6" s="4" t="s">
        <v>12</v>
      </c>
      <c r="D6" s="4" t="s">
        <v>13</v>
      </c>
    </row>
    <row r="7">
      <c r="A7" s="3">
        <v>6.0</v>
      </c>
      <c r="B7" s="3">
        <v>2.0</v>
      </c>
      <c r="C7" s="4" t="s">
        <v>14</v>
      </c>
      <c r="D7" s="4" t="s">
        <v>15</v>
      </c>
    </row>
    <row r="8">
      <c r="A8" s="3">
        <v>7.0</v>
      </c>
      <c r="B8" s="3">
        <v>2.0</v>
      </c>
      <c r="C8" s="4" t="s">
        <v>16</v>
      </c>
      <c r="D8" s="6" t="s">
        <v>17</v>
      </c>
    </row>
    <row r="9">
      <c r="A9" s="3">
        <v>8.0</v>
      </c>
      <c r="B9" s="3">
        <v>2.0</v>
      </c>
      <c r="C9" s="4" t="s">
        <v>18</v>
      </c>
      <c r="D9" s="6" t="s">
        <v>19</v>
      </c>
    </row>
    <row r="10">
      <c r="A10" s="3">
        <v>9.0</v>
      </c>
      <c r="B10" s="3">
        <v>3.0</v>
      </c>
      <c r="C10" s="4" t="s">
        <v>20</v>
      </c>
      <c r="D10" s="4" t="s">
        <v>21</v>
      </c>
    </row>
    <row r="11">
      <c r="A11" s="3">
        <v>10.0</v>
      </c>
      <c r="B11" s="3">
        <v>3.0</v>
      </c>
      <c r="C11" s="4" t="s">
        <v>22</v>
      </c>
      <c r="D11" s="4" t="s">
        <v>23</v>
      </c>
    </row>
    <row r="12">
      <c r="A12" s="3">
        <v>11.0</v>
      </c>
      <c r="B12" s="3">
        <v>3.0</v>
      </c>
      <c r="C12" s="6" t="s">
        <v>24</v>
      </c>
      <c r="D12" s="4" t="s">
        <v>25</v>
      </c>
    </row>
    <row r="13">
      <c r="A13" s="3">
        <v>12.0</v>
      </c>
      <c r="B13" s="3">
        <v>3.0</v>
      </c>
      <c r="C13" s="4" t="s">
        <v>26</v>
      </c>
      <c r="D13" s="4" t="s">
        <v>27</v>
      </c>
    </row>
    <row r="14">
      <c r="A14" s="3">
        <v>13.0</v>
      </c>
      <c r="B14" s="3">
        <v>5.0</v>
      </c>
      <c r="C14" s="4" t="s">
        <v>28</v>
      </c>
      <c r="D14" s="4" t="s">
        <v>29</v>
      </c>
    </row>
    <row r="15">
      <c r="A15" s="3">
        <v>14.0</v>
      </c>
      <c r="B15" s="3">
        <v>5.0</v>
      </c>
      <c r="C15" s="6" t="s">
        <v>30</v>
      </c>
      <c r="D15" s="4" t="s">
        <v>31</v>
      </c>
    </row>
    <row r="16">
      <c r="A16" s="3">
        <v>15.0</v>
      </c>
      <c r="B16" s="3">
        <v>5.0</v>
      </c>
      <c r="C16" s="4" t="s">
        <v>32</v>
      </c>
      <c r="D16" s="6" t="s">
        <v>33</v>
      </c>
    </row>
    <row r="17">
      <c r="A17" s="3">
        <v>16.0</v>
      </c>
      <c r="B17" s="3">
        <v>5.0</v>
      </c>
      <c r="C17" s="4" t="s">
        <v>34</v>
      </c>
      <c r="D17" s="6" t="s">
        <v>35</v>
      </c>
    </row>
    <row r="18">
      <c r="A18" s="3">
        <v>17.0</v>
      </c>
      <c r="B18" s="3">
        <v>8.0</v>
      </c>
      <c r="C18" s="4" t="s">
        <v>36</v>
      </c>
      <c r="D18" s="4" t="s">
        <v>37</v>
      </c>
    </row>
    <row r="19">
      <c r="A19" s="3">
        <v>18.0</v>
      </c>
      <c r="B19" s="3">
        <v>8.0</v>
      </c>
      <c r="C19" s="6" t="s">
        <v>38</v>
      </c>
      <c r="D19" s="4" t="s">
        <v>39</v>
      </c>
    </row>
    <row r="20">
      <c r="A20" s="3">
        <v>19.0</v>
      </c>
      <c r="B20" s="3">
        <v>8.0</v>
      </c>
      <c r="C20" s="4" t="s">
        <v>10</v>
      </c>
      <c r="D20" s="4" t="s">
        <v>40</v>
      </c>
    </row>
    <row r="21">
      <c r="A21" s="3">
        <v>20.0</v>
      </c>
      <c r="B21" s="3">
        <v>8.0</v>
      </c>
      <c r="C21" s="4" t="s">
        <v>14</v>
      </c>
      <c r="D21" s="4" t="s">
        <v>41</v>
      </c>
    </row>
    <row r="22">
      <c r="A22" s="3">
        <v>21.0</v>
      </c>
      <c r="B22" s="3">
        <v>13.0</v>
      </c>
      <c r="C22" s="4" t="s">
        <v>42</v>
      </c>
      <c r="D22" s="4" t="s">
        <v>43</v>
      </c>
    </row>
    <row r="23">
      <c r="A23" s="3">
        <v>22.0</v>
      </c>
      <c r="B23" s="3">
        <v>13.0</v>
      </c>
      <c r="C23" s="4" t="s">
        <v>44</v>
      </c>
      <c r="D23" s="4" t="s">
        <v>45</v>
      </c>
    </row>
    <row r="24">
      <c r="A24" s="3">
        <v>23.0</v>
      </c>
      <c r="B24" s="3">
        <v>13.0</v>
      </c>
      <c r="C24" s="4" t="s">
        <v>46</v>
      </c>
      <c r="D24" s="4" t="s">
        <v>47</v>
      </c>
    </row>
    <row r="25">
      <c r="A25" s="3">
        <v>24.0</v>
      </c>
      <c r="B25" s="3">
        <v>21.0</v>
      </c>
      <c r="C25" s="7" t="s">
        <v>14</v>
      </c>
      <c r="D25" s="6" t="s">
        <v>48</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59.75"/>
    <col customWidth="1" min="3" max="3" width="10.38"/>
    <col customWidth="1" min="4" max="4" width="7.38"/>
    <col customWidth="1" min="5" max="5" width="8.38"/>
  </cols>
  <sheetData>
    <row r="1">
      <c r="A1" s="8" t="s">
        <v>49</v>
      </c>
      <c r="B1" s="8" t="s">
        <v>50</v>
      </c>
      <c r="C1" s="8" t="s">
        <v>51</v>
      </c>
      <c r="D1" s="8" t="s">
        <v>52</v>
      </c>
      <c r="E1" s="8" t="s">
        <v>53</v>
      </c>
    </row>
    <row r="2">
      <c r="A2" s="9">
        <v>1.0</v>
      </c>
      <c r="B2" s="6" t="s">
        <v>54</v>
      </c>
      <c r="C2" s="9">
        <v>8.0</v>
      </c>
      <c r="D2" s="9">
        <v>1.0</v>
      </c>
      <c r="E2" s="9"/>
    </row>
    <row r="3">
      <c r="A3" s="9">
        <v>2.0</v>
      </c>
      <c r="B3" s="6" t="s">
        <v>55</v>
      </c>
      <c r="C3" s="9">
        <v>5.0</v>
      </c>
      <c r="D3" s="9">
        <v>2.0</v>
      </c>
      <c r="E3" s="9"/>
    </row>
    <row r="4">
      <c r="A4" s="9">
        <v>3.0</v>
      </c>
      <c r="B4" s="6" t="s">
        <v>56</v>
      </c>
      <c r="C4" s="9">
        <v>3.0</v>
      </c>
      <c r="D4" s="9">
        <v>3.0</v>
      </c>
      <c r="E4" s="9"/>
    </row>
    <row r="5">
      <c r="A5" s="9">
        <v>4.0</v>
      </c>
      <c r="B5" s="6" t="s">
        <v>57</v>
      </c>
      <c r="C5" s="9">
        <v>2.0</v>
      </c>
      <c r="D5" s="9">
        <v>4.0</v>
      </c>
      <c r="E5" s="9"/>
    </row>
    <row r="6">
      <c r="A6" s="9">
        <v>5.0</v>
      </c>
      <c r="B6" s="6" t="s">
        <v>58</v>
      </c>
      <c r="C6" s="9">
        <v>8.0</v>
      </c>
      <c r="D6" s="9">
        <v>5.0</v>
      </c>
      <c r="E6" s="9"/>
    </row>
    <row r="7">
      <c r="A7" s="9">
        <v>6.0</v>
      </c>
      <c r="B7" s="6" t="s">
        <v>59</v>
      </c>
      <c r="C7" s="9">
        <v>13.0</v>
      </c>
      <c r="D7" s="9">
        <v>6.0</v>
      </c>
      <c r="E7" s="9"/>
    </row>
    <row r="8">
      <c r="A8" s="9">
        <v>7.0</v>
      </c>
      <c r="B8" s="6" t="s">
        <v>60</v>
      </c>
      <c r="C8" s="9">
        <v>3.0</v>
      </c>
      <c r="D8" s="9">
        <v>7.0</v>
      </c>
      <c r="E8" s="9"/>
    </row>
    <row r="9">
      <c r="A9" s="9">
        <v>8.0</v>
      </c>
      <c r="B9" s="6" t="s">
        <v>61</v>
      </c>
      <c r="C9" s="9">
        <v>2.0</v>
      </c>
      <c r="D9" s="9">
        <v>8.0</v>
      </c>
      <c r="E9" s="9"/>
    </row>
    <row r="10">
      <c r="A10" s="9">
        <v>9.0</v>
      </c>
      <c r="B10" s="6" t="s">
        <v>62</v>
      </c>
      <c r="C10" s="9">
        <v>8.0</v>
      </c>
      <c r="D10" s="9">
        <v>9.0</v>
      </c>
      <c r="E10" s="9"/>
    </row>
    <row r="11">
      <c r="A11" s="9">
        <v>10.0</v>
      </c>
      <c r="B11" s="5" t="s">
        <v>63</v>
      </c>
      <c r="C11" s="9">
        <v>5.0</v>
      </c>
      <c r="D11" s="9">
        <v>10.0</v>
      </c>
      <c r="E11" s="9"/>
    </row>
    <row r="12">
      <c r="A12" s="9">
        <v>11.0</v>
      </c>
      <c r="B12" s="6" t="s">
        <v>64</v>
      </c>
      <c r="C12" s="9">
        <v>5.0</v>
      </c>
      <c r="D12" s="9">
        <v>11.0</v>
      </c>
      <c r="E12" s="9"/>
    </row>
    <row r="13">
      <c r="A13" s="9">
        <v>12.0</v>
      </c>
      <c r="B13" s="5" t="s">
        <v>65</v>
      </c>
      <c r="C13" s="9">
        <v>5.0</v>
      </c>
      <c r="D13" s="9">
        <v>12.0</v>
      </c>
      <c r="E13" s="9"/>
    </row>
    <row r="14">
      <c r="A14" s="9">
        <v>13.0</v>
      </c>
      <c r="B14" s="6" t="s">
        <v>66</v>
      </c>
      <c r="C14" s="9">
        <v>5.0</v>
      </c>
      <c r="D14" s="9">
        <v>13.0</v>
      </c>
      <c r="E14" s="9"/>
    </row>
    <row r="15">
      <c r="A15" s="9">
        <v>14.0</v>
      </c>
      <c r="B15" s="6" t="s">
        <v>67</v>
      </c>
      <c r="C15" s="9">
        <v>8.0</v>
      </c>
      <c r="D15" s="9">
        <v>14.0</v>
      </c>
      <c r="E15" s="9"/>
    </row>
    <row r="16">
      <c r="A16" s="9">
        <v>15.0</v>
      </c>
      <c r="B16" s="6" t="s">
        <v>68</v>
      </c>
      <c r="C16" s="9">
        <v>5.0</v>
      </c>
      <c r="D16" s="9">
        <v>15.0</v>
      </c>
      <c r="E16" s="9"/>
    </row>
    <row r="17">
      <c r="A17" s="9">
        <v>16.0</v>
      </c>
      <c r="B17" s="6" t="s">
        <v>69</v>
      </c>
      <c r="C17" s="9">
        <v>2.0</v>
      </c>
      <c r="D17" s="9">
        <v>16.0</v>
      </c>
      <c r="E17" s="9"/>
    </row>
    <row r="18">
      <c r="A18" s="9">
        <v>17.0</v>
      </c>
      <c r="B18" s="6" t="s">
        <v>70</v>
      </c>
      <c r="C18" s="9">
        <v>3.0</v>
      </c>
      <c r="D18" s="9">
        <v>17.0</v>
      </c>
      <c r="E18" s="9"/>
    </row>
    <row r="19">
      <c r="A19" s="9">
        <v>18.0</v>
      </c>
      <c r="B19" s="6" t="s">
        <v>71</v>
      </c>
      <c r="C19" s="9">
        <v>5.0</v>
      </c>
      <c r="D19" s="9">
        <v>18.0</v>
      </c>
      <c r="E19" s="9"/>
    </row>
    <row r="20">
      <c r="A20" s="9">
        <v>19.0</v>
      </c>
      <c r="B20" s="6" t="s">
        <v>72</v>
      </c>
      <c r="C20" s="9">
        <v>5.0</v>
      </c>
      <c r="D20" s="9">
        <v>19.0</v>
      </c>
      <c r="E20" s="9"/>
    </row>
    <row r="21">
      <c r="A21" s="9">
        <v>20.0</v>
      </c>
      <c r="B21" s="6" t="s">
        <v>73</v>
      </c>
      <c r="C21" s="9">
        <v>3.0</v>
      </c>
      <c r="D21" s="9">
        <v>20.0</v>
      </c>
      <c r="E21" s="9"/>
    </row>
    <row r="22">
      <c r="A22" s="9">
        <v>21.0</v>
      </c>
      <c r="B22" s="6" t="s">
        <v>74</v>
      </c>
      <c r="C22" s="9">
        <v>5.0</v>
      </c>
      <c r="D22" s="9">
        <v>21.0</v>
      </c>
      <c r="E22" s="9"/>
    </row>
    <row r="23">
      <c r="A23" s="9">
        <v>22.0</v>
      </c>
      <c r="B23" s="6" t="s">
        <v>75</v>
      </c>
      <c r="C23" s="9">
        <v>8.0</v>
      </c>
      <c r="D23" s="9">
        <v>22.0</v>
      </c>
      <c r="E23" s="9"/>
    </row>
    <row r="24">
      <c r="A24" s="9">
        <v>23.0</v>
      </c>
      <c r="B24" s="6" t="s">
        <v>76</v>
      </c>
      <c r="C24" s="9">
        <v>5.0</v>
      </c>
      <c r="D24" s="9">
        <v>23.0</v>
      </c>
      <c r="E24" s="9"/>
    </row>
    <row r="25">
      <c r="A25" s="9">
        <v>24.0</v>
      </c>
      <c r="B25" s="6" t="s">
        <v>77</v>
      </c>
      <c r="C25" s="9">
        <v>5.0</v>
      </c>
      <c r="D25" s="9">
        <v>24.0</v>
      </c>
      <c r="E25" s="9"/>
    </row>
    <row r="26">
      <c r="A26" s="9">
        <v>25.0</v>
      </c>
      <c r="B26" s="6" t="s">
        <v>78</v>
      </c>
      <c r="C26" s="9">
        <v>1.0</v>
      </c>
      <c r="D26" s="9">
        <v>25.0</v>
      </c>
      <c r="E26" s="9"/>
    </row>
    <row r="27">
      <c r="A27" s="9">
        <v>26.0</v>
      </c>
      <c r="B27" s="6" t="s">
        <v>79</v>
      </c>
      <c r="C27" s="9">
        <v>3.0</v>
      </c>
      <c r="D27" s="9">
        <v>26.0</v>
      </c>
      <c r="E27" s="9"/>
    </row>
    <row r="28">
      <c r="A28" s="10">
        <v>27.0</v>
      </c>
      <c r="B28" s="11" t="s">
        <v>80</v>
      </c>
      <c r="C28" s="10">
        <v>3.0</v>
      </c>
      <c r="D28" s="10">
        <v>27.0</v>
      </c>
      <c r="E28" s="9"/>
    </row>
    <row r="29">
      <c r="A29" s="10">
        <v>28.0</v>
      </c>
      <c r="B29" s="11" t="s">
        <v>81</v>
      </c>
      <c r="C29" s="10">
        <v>13.0</v>
      </c>
      <c r="D29" s="10">
        <v>28.0</v>
      </c>
      <c r="E29" s="9"/>
    </row>
    <row r="30">
      <c r="A30" s="10">
        <v>29.0</v>
      </c>
      <c r="B30" s="11" t="s">
        <v>82</v>
      </c>
      <c r="C30" s="10">
        <v>1.0</v>
      </c>
      <c r="D30" s="10">
        <v>29.0</v>
      </c>
      <c r="E30" s="9"/>
    </row>
    <row r="31">
      <c r="A31" s="10">
        <v>30.0</v>
      </c>
      <c r="B31" s="11" t="s">
        <v>83</v>
      </c>
      <c r="C31" s="10">
        <v>3.0</v>
      </c>
      <c r="D31" s="10">
        <v>30.0</v>
      </c>
      <c r="E31" s="9"/>
    </row>
    <row r="32">
      <c r="A32" s="10">
        <v>31.0</v>
      </c>
      <c r="B32" s="11" t="s">
        <v>84</v>
      </c>
      <c r="C32" s="10">
        <v>3.0</v>
      </c>
      <c r="D32" s="10">
        <v>31.0</v>
      </c>
      <c r="E32" s="9"/>
    </row>
    <row r="33">
      <c r="A33" s="10">
        <v>32.0</v>
      </c>
      <c r="B33" s="11" t="s">
        <v>85</v>
      </c>
      <c r="C33" s="10">
        <v>3.0</v>
      </c>
      <c r="D33" s="10">
        <v>32.0</v>
      </c>
      <c r="E33" s="9"/>
    </row>
    <row r="34">
      <c r="A34" s="10">
        <v>33.0</v>
      </c>
      <c r="B34" s="11" t="s">
        <v>86</v>
      </c>
      <c r="C34" s="10">
        <v>3.0</v>
      </c>
      <c r="D34" s="10">
        <v>33.0</v>
      </c>
      <c r="E34" s="9"/>
    </row>
    <row r="35">
      <c r="A35" s="10">
        <v>34.0</v>
      </c>
      <c r="B35" s="11" t="s">
        <v>87</v>
      </c>
      <c r="C35" s="10">
        <v>3.0</v>
      </c>
      <c r="D35" s="10">
        <v>34.0</v>
      </c>
      <c r="E35" s="9"/>
    </row>
    <row r="36">
      <c r="A36" s="10">
        <v>35.0</v>
      </c>
      <c r="B36" s="11" t="s">
        <v>88</v>
      </c>
      <c r="C36" s="10">
        <v>1.0</v>
      </c>
      <c r="D36" s="10">
        <v>35.0</v>
      </c>
      <c r="E36" s="9"/>
    </row>
    <row r="37">
      <c r="A37" s="12">
        <v>36.0</v>
      </c>
      <c r="B37" s="13" t="s">
        <v>89</v>
      </c>
      <c r="C37" s="12">
        <v>8.0</v>
      </c>
      <c r="D37" s="12">
        <v>36.0</v>
      </c>
      <c r="E37" s="9"/>
    </row>
    <row r="38">
      <c r="A38" s="12">
        <v>37.0</v>
      </c>
      <c r="B38" s="13" t="s">
        <v>90</v>
      </c>
      <c r="C38" s="12">
        <v>5.0</v>
      </c>
      <c r="D38" s="12">
        <v>37.0</v>
      </c>
      <c r="E38" s="9"/>
    </row>
    <row r="39">
      <c r="A39" s="12">
        <v>38.0</v>
      </c>
      <c r="B39" s="13" t="s">
        <v>91</v>
      </c>
      <c r="C39" s="12">
        <v>3.0</v>
      </c>
      <c r="D39" s="12">
        <v>38.0</v>
      </c>
      <c r="E39" s="9"/>
    </row>
    <row r="40">
      <c r="A40" s="14">
        <v>39.0</v>
      </c>
      <c r="B40" s="15" t="s">
        <v>92</v>
      </c>
      <c r="C40" s="14">
        <v>5.0</v>
      </c>
      <c r="D40" s="14">
        <v>39.0</v>
      </c>
      <c r="E40" s="9"/>
    </row>
    <row r="41">
      <c r="A41" s="9">
        <v>40.0</v>
      </c>
      <c r="B41" s="6" t="s">
        <v>93</v>
      </c>
      <c r="C41" s="9">
        <v>5.0</v>
      </c>
      <c r="D41" s="9">
        <v>40.0</v>
      </c>
      <c r="E41" s="9"/>
    </row>
    <row r="42">
      <c r="A42" s="16"/>
      <c r="B42" s="17"/>
      <c r="C42" s="16"/>
      <c r="D42" s="16"/>
      <c r="E42" s="16"/>
    </row>
    <row r="43">
      <c r="A43" s="16"/>
      <c r="B43" s="18" t="s">
        <v>94</v>
      </c>
      <c r="C43" s="19">
        <f>SUM(C2:C41)</f>
        <v>189</v>
      </c>
      <c r="D43" s="16"/>
      <c r="E43" s="16"/>
    </row>
    <row r="44">
      <c r="A44" s="20" t="s">
        <v>95</v>
      </c>
    </row>
  </sheetData>
  <mergeCells count="1">
    <mergeCell ref="A44:L61"/>
  </mergeCells>
  <printOptions gridLines="1" horizontalCentered="1"/>
  <pageMargins bottom="0.75" footer="0.0" header="0.0" left="0.7" right="0.7" top="0.75"/>
  <pageSetup fitToHeight="0" cellComments="atEnd" orientation="landscape" pageOrder="overThenDown"/>
  <drawing r:id="rId1"/>
</worksheet>
</file>